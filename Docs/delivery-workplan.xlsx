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4a17d5319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plan" sheetId="1" r:id="Rb303539e220c4381"/>
    <x:sheet xmlns:r="http://schemas.openxmlformats.org/officeDocument/2006/relationships" name="Weekly plan" sheetId="2" r:id="Rc8a78201d7b94eff"/>
    <x:sheet xmlns:r="http://schemas.openxmlformats.org/officeDocument/2006/relationships" name="Acceptance checks" sheetId="3" r:id="R1a79303ff25f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;[Red](0.0);&quot;—&quot;"/>
    <x:numFmt numFmtId="201" formatCode="dd mmm yyyy"/>
    <x:numFmt numFmtId="202" formatCode="0.0;[Red](0.0);&quot;0.0&quot;"/>
  </x:numFmts>
  <x:fonts count="9">
    <x:font>
      <x:sz val="11"/>
      <x:name val="Carlito"/>
    </x:font>
    <x:font>
      <x:sz val="11"/>
      <x:color rgb="FF243746"/>
      <x:name val="Arial"/>
    </x:font>
    <x:font>
      <x:b/>
      <x:sz val="16"/>
      <x:color rgb="FF243D51"/>
      <x:name val="Arial"/>
    </x:font>
    <x:font>
      <x:sz val="11"/>
      <x:color rgb="FF586A76"/>
      <x:name val="Arial"/>
    </x:font>
    <x:font>
      <x:sz val="10"/>
      <x:color rgb="FF586A76"/>
      <x:name val="Arial"/>
    </x:font>
    <x:font>
      <x:b/>
      <x:sz val="11"/>
      <x:color rgb="FFFFFFFF"/>
      <x:name val="Arial"/>
    </x:font>
    <x:font>
      <x:b/>
      <x:sz val="11"/>
      <x:color rgb="FF243D51"/>
      <x:name val="Arial"/>
    </x:font>
    <x:font>
      <x:sz val="11"/>
      <x:color rgb="FF245C9D"/>
      <x:name val="Arial"/>
    </x:font>
    <x:font>
      <x:sz val="10"/>
      <x:color rgb="FF245C9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51"/>
      </x:patternFill>
    </x:fill>
    <x:fill>
      <x:patternFill patternType="solid">
        <x:fgColor rgb="FFF2F6F8"/>
      </x:patternFill>
    </x:fill>
    <x:fill>
      <x:patternFill patternType="solid">
        <x:fgColor rgb="FFE9F1FC"/>
      </x:patternFill>
    </x:fill>
  </x:fills>
  <x:borders count="5">
    <x:border>
      <x:left/>
      <x:right/>
      <x:top/>
      <x:bottom/>
      <x:diagonal/>
    </x:border>
    <x:border>
      <x:left/>
      <x:right/>
      <x:top style="thin">
        <x:color rgb="FFD9E1E7"/>
      </x:top>
      <x:bottom/>
      <x:diagonal/>
    </x:border>
    <x:border>
      <x:left/>
      <x:right/>
      <x:top/>
      <x:bottom style="thin">
        <x:color rgb="FFD9E1E7"/>
      </x:bottom>
      <x:diagonal/>
    </x:border>
    <x:border>
      <x:left/>
      <x:right/>
      <x:top style="thin">
        <x:color rgb="FFD9E1E7"/>
      </x:top>
      <x:bottom style="thin">
        <x:color rgb="FFD9E1E7"/>
      </x:bottom>
      <x:diagonal/>
    </x:border>
    <x:border>
      <x:left/>
      <x:right/>
      <x:top style="thin">
        <x:color rgb="FF243D51"/>
      </x:top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  <x:xf numFmtId="201" fontId="1" fillId="0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horizontal="center" vertical="center" wrapText="1"/>
    </x:xf>
    <x:xf numFmtId="200" fontId="1" fillId="3" borderId="2" xfId="0" applyNumberFormat="1" applyFont="1" applyFill="1" applyBorder="1" applyAlignment="1">
      <x:alignment horizontal="center" vertical="center" wrapText="1"/>
    </x:xf>
    <x:xf numFmtId="200" fontId="1" fillId="3" borderId="3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200" fontId="6" fillId="0" borderId="4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7" fillId="4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color rgb="FF526574"/>
      </x:font>
      <x:fill>
        <x:patternFill>
          <x:bgColor rgb="FFF0F3F5"/>
        </x:patternFill>
      </x:fill>
    </x:dxf>
    <x:dxf>
      <x:font>
        <x:color rgb="FF245C9D"/>
      </x:font>
      <x:fill>
        <x:patternFill>
          <x:bgColor rgb="FFE6F0FB"/>
        </x:patternFill>
      </x:fill>
    </x:dxf>
    <x:dxf>
      <x:font>
        <x:color rgb="FF7D5812"/>
      </x:font>
      <x:fill>
        <x:patternFill>
          <x:bgColor rgb="FFFFF1D6"/>
        </x:patternFill>
      </x:fill>
    </x:dxf>
    <x:dxf>
      <x:font>
        <x:color rgb="FF9C302B"/>
      </x:font>
      <x:fill>
        <x:patternFill>
          <x:bgColor rgb="FFFCE8E6"/>
        </x:patternFill>
      </x:fill>
    </x:dxf>
    <x:dxf>
      <x:font>
        <x:color rgb="FF266449"/>
      </x:font>
      <x:fill>
        <x:patternFill>
          <x:bgColor rgb="FFE7F3ED"/>
        </x:patternFill>
      </x:fill>
    </x:dxf>
    <x:dxf>
      <x:font>
        <x:color rgb="FF9C302B"/>
      </x:font>
      <x:fill>
        <x:patternFill>
          <x:bgColor rgb="FFFCE8E6"/>
        </x:patternFill>
      </x:fill>
    </x:dxf>
    <x:dxf>
      <x:font>
        <x:b/>
        <x:color rgb="FF9C302B"/>
      </x:font>
      <x:fill>
        <x:patternFill>
          <x:bgColor rgb="FFFCE8E6"/>
        </x:patternFill>
      </x:fill>
    </x:dxf>
    <x:dxf>
      <x:font>
        <x:color rgb="FF526574"/>
      </x:font>
      <x:fill>
        <x:patternFill>
          <x:bgColor rgb="FFF0F3F5"/>
        </x:patternFill>
      </x:fill>
    </x:dxf>
    <x:dxf>
      <x:font>
        <x:color rgb="FF266449"/>
      </x:font>
      <x:fill>
        <x:patternFill>
          <x:bgColor rgb="FFE7F3ED"/>
        </x:patternFill>
      </x:fill>
    </x:dxf>
    <x:dxf>
      <x:font>
        <x:color rgb="FF9C302B"/>
      </x:font>
      <x:fill>
        <x:patternFill>
          <x:bgColor rgb="FFFCE8E6"/>
        </x:patternFill>
      </x:fill>
    </x:dxf>
    <x:dxf>
      <x:font>
        <x:color rgb="FF7D5812"/>
      </x:font>
      <x:fill>
        <x:patternFill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5723217db4472" /><Relationship Type="http://schemas.openxmlformats.org/officeDocument/2006/relationships/theme" Target="/xl/theme/theme1.xml" Id="Rc2312e8150c94493" /><Relationship Type="http://schemas.openxmlformats.org/officeDocument/2006/relationships/sharedStrings" Target="/xl/sharedStrings.xml" Id="R2600d010cccb4a05" /><Relationship Type="http://schemas.openxmlformats.org/officeDocument/2006/relationships/worksheet" Target="/xl/worksheets/sheet1.xml" Id="Rb303539e220c4381" /><Relationship Type="http://schemas.openxmlformats.org/officeDocument/2006/relationships/worksheet" Target="/xl/worksheets/sheet2.xml" Id="Rc8a78201d7b94eff" /><Relationship Type="http://schemas.openxmlformats.org/officeDocument/2006/relationships/worksheet" Target="/xl/worksheets/sheet3.xml" Id="R1a79303ff25f44c9" /></Relationships>
</file>

<file path=xl/tables/table1.xml><?xml version="1.0" encoding="utf-8"?>
<x:table xmlns:x="http://schemas.openxmlformats.org/spreadsheetml/2006/main" id="3" name="WorkplanTasks" displayName="WorkplanTasks" ref="A5:I36" headerRowCount="1" totalsRowCount="0" totalsRowShown="0">
  <x:autoFilter ref="A5:I36"/>
  <x:tableColumns count="9">
    <x:tableColumn id="1" name="AREA"/>
    <x:tableColumn id="2" name="Task"/>
    <x:tableColumn id="3" name="SubTask"/>
    <x:tableColumn id="4" name="Engineer days"/>
    <x:tableColumn id="5" name="Status"/>
    <x:tableColumn id="6" name="Owner"/>
    <x:tableColumn id="7" name="ETC"/>
    <x:tableColumn id="8" name="Notes"/>
    <x:tableColumn id="9" name="PR/Documen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AcceptanceChecks" displayName="AcceptanceChecks" ref="A5:H22" headerRowCount="1" totalsRowCount="0" totalsRowShown="0">
  <x:autoFilter ref="A5:H22"/>
  <x:tableColumns count="8">
    <x:tableColumn id="1" name="ID"/>
    <x:tableColumn id="2" name="Area"/>
    <x:tableColumn id="3" name="Check / linked task"/>
    <x:tableColumn id="4" name="Pass condition"/>
    <x:tableColumn id="5" name="Owner"/>
    <x:tableColumn id="6" name="Due"/>
    <x:tableColumn id="7" name="Result"/>
    <x:tableColumn id="8" name="Evidence / issue link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9cdef669f048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ec0276187345f8" /></Relationships>
</file>

<file path=xl/worksheets/sheet1.xml><?xml version="1.0" encoding="utf-8"?>
<x:worksheet xmlns:x="http://schemas.openxmlformats.org/spreadsheetml/2006/main">
  <x:sheetPr>
    <x:tabColor rgb="FF243D5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17" hidden="0" customWidth="1"/>
    <x:col min="5" max="5" width="17" hidden="0" customWidth="1"/>
    <x:col min="6" max="6" width="21" hidden="0" customWidth="1"/>
    <x:col min="7" max="7" width="14" hidden="0" customWidth="1"/>
    <x:col min="8" max="8" width="68" hidden="0" customWidth="1"/>
    <x:col min="9" max="9" width="25" hidden="0" customWidth="1"/>
  </x:cols>
  <x:sheetData>
    <x:row r="1" ht="29" customHeight="1">
      <x:c r="A1" s="4" t="str">
        <x:v>Alcovia | November delivery workplan</x:v>
      </x:c>
      <x:c r="B1" s="4"/>
      <x:c r="C1" s="4"/>
      <x:c r="D1" s="4"/>
      <x:c r="E1" s="4"/>
      <x:c r="F1" s="4"/>
      <x:c r="G1" s="4"/>
      <x:c r="H1" s="4"/>
      <x:c r="I1" s="4"/>
    </x:row>
    <x:row r="2" ht="26" customHeight="1">
      <x:c r="A2" s="5" t="str">
        <x:v>App adoption · GTM tracker · Student dashboard | Proposed rollout tasks; existing prototypes are the starting point.</x:v>
      </x:c>
      <x:c r="B2" s="5"/>
      <x:c r="C2" s="5"/>
      <x:c r="D2" s="5"/>
      <x:c r="E2" s="5"/>
      <x:c r="F2" s="5"/>
      <x:c r="G2" s="5"/>
      <x:c r="H2" s="5"/>
      <x:c r="I2" s="5"/>
    </x:row>
    <x:row r="3" ht="26" customHeight="1">
      <x:c r="A3" s="6" t="str">
        <x:v>Engineer days count engineering allocation only; — means none. ETC = target finish. Update Status, Owner and PR/Document as work progresses.</x:v>
      </x:c>
      <x:c r="B3" s="6"/>
      <x:c r="C3" s="6"/>
      <x:c r="D3" s="6"/>
      <x:c r="E3" s="6"/>
      <x:c r="F3" s="6"/>
      <x:c r="G3" s="6"/>
      <x:c r="H3" s="6"/>
      <x:c r="I3" s="6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1" customHeight="1">
      <x:c r="A5" s="8" t="str">
        <x:v>AREA</x:v>
      </x:c>
      <x:c r="B5" s="8" t="str">
        <x:v>Task</x:v>
      </x:c>
      <x:c r="C5" s="8" t="str">
        <x:v>SubTask</x:v>
      </x:c>
      <x:c r="D5" s="8" t="str">
        <x:v>Engineer days</x:v>
      </x:c>
      <x:c r="E5" s="8" t="str">
        <x:v>Status</x:v>
      </x:c>
      <x:c r="F5" s="8" t="str">
        <x:v>Owner</x:v>
      </x:c>
      <x:c r="G5" s="8" t="str">
        <x:v>ETC</x:v>
      </x:c>
      <x:c r="H5" s="8" t="str">
        <x:v>Notes</x:v>
      </x:c>
      <x:c r="I5" s="8" t="str">
        <x:v>PR/Document</x:v>
      </x:c>
    </x:row>
    <x:row r="6" ht="60" customHeight="1">
      <x:c r="A6" s="16" t="str">
        <x:v>All workstreams</x:v>
      </x:c>
      <x:c r="B6" s="16" t="str">
        <x:v>T01 Set outcomes</x:v>
      </x:c>
      <x:c r="C6" s="17" t="str">
        <x:v>T01.1 Agree the problem and scope</x:v>
      </x:c>
      <x:c r="D6" s="18" t="n">
        <x:v>0</x:v>
      </x:c>
      <x:c r="E6" s="19" t="str">
        <x:v>Not started</x:v>
      </x:c>
      <x:c r="F6" s="19" t="str">
        <x:v>Pranav</x:v>
      </x:c>
      <x:c r="G6" s="20" t="d">
        <x:v>2026-11-02T00:00:00.000Z</x:v>
      </x:c>
      <x:c r="H6" s="17" t="str">
        <x:v>For app adoption, GTM and student tracking, name the user, decision, owner and review date. Record exclusions and dependencies.</x:v>
      </x:c>
      <x:c r="I6" s="21"/>
    </x:row>
    <x:row r="7" ht="60" customHeight="1">
      <x:c r="A7" s="9" t="str">
        <x:v>All workstreams</x:v>
      </x:c>
      <x:c r="B7" s="9" t="str">
        <x:v>T01 Set outcomes</x:v>
      </x:c>
      <x:c r="C7" s="3" t="str">
        <x:v>T01.2 Define the measure and acceptance</x:v>
      </x:c>
      <x:c r="D7" s="12" t="n">
        <x:v>0</x:v>
      </x:c>
      <x:c r="E7" s="13" t="str">
        <x:v>Not started</x:v>
      </x:c>
      <x:c r="F7" s="13" t="str">
        <x:v>Process designer</x:v>
      </x:c>
      <x:c r="G7" s="14" t="d">
        <x:v>2026-11-02T00:00:00.000Z</x:v>
      </x:c>
      <x:c r="H7" s="3" t="str">
        <x:v>Agree a baseline, target and sample records for each item. Keep useful app activity, GTM decisions and advisor review effort distinct.</x:v>
      </x:c>
      <x:c r="I7" s="15"/>
    </x:row>
    <x:row r="8" ht="60" customHeight="1">
      <x:c r="A8" s="16" t="str">
        <x:v>All workstreams</x:v>
      </x:c>
      <x:c r="B8" s="16" t="str">
        <x:v>T02 Audit existing assets</x:v>
      </x:c>
      <x:c r="C8" s="17" t="str">
        <x:v>T02.1 Run both dashboards and n8n</x:v>
      </x:c>
      <x:c r="D8" s="18" t="n">
        <x:v>0.5</x:v>
      </x:c>
      <x:c r="E8" s="19" t="str">
        <x:v>Not started</x:v>
      </x:c>
      <x:c r="F8" s="19" t="str">
        <x:v>Engineer</x:v>
      </x:c>
      <x:c r="G8" s="20" t="d">
        <x:v>2026-11-02T00:00:00.000Z</x:v>
      </x:c>
      <x:c r="H8" s="17" t="str">
        <x:v>Trace one record through each existing prototype. Mark live, simulated and missing connections. Reuse what works; revise estimates if gaps are larger.</x:v>
      </x:c>
      <x:c r="I8" s="21"/>
    </x:row>
    <x:row r="9" ht="60" customHeight="1">
      <x:c r="A9" s="9" t="str">
        <x:v>App adoption</x:v>
      </x:c>
      <x:c r="B9" s="9" t="str">
        <x:v>T02 Audit existing assets</x:v>
      </x:c>
      <x:c r="C9" s="3" t="str">
        <x:v>T02.2 Confirm app and release access</x:v>
      </x:c>
      <x:c r="D9" s="12" t="n">
        <x:v>0.5</x:v>
      </x:c>
      <x:c r="E9" s="13" t="str">
        <x:v>Not started</x:v>
      </x:c>
      <x:c r="F9" s="13" t="str">
        <x:v>Engineer</x:v>
      </x:c>
      <x:c r="G9" s="14" t="d">
        <x:v>2026-11-02T00:00:00.000Z</x:v>
      </x:c>
      <x:c r="H9" s="3" t="str">
        <x:v>Confirm build access and the existing TestFlight / Android APK routes. Pranav resolves access blockers. Do not assume remote updates are supported.</x:v>
      </x:c>
      <x:c r="I9" s="15"/>
    </x:row>
    <x:row r="10" ht="60" customHeight="1">
      <x:c r="A10" s="16" t="str">
        <x:v>All workstreams</x:v>
      </x:c>
      <x:c r="B10" s="16" t="str">
        <x:v>T03 Verify measurement</x:v>
      </x:c>
      <x:c r="C10" s="17" t="str">
        <x:v>T03.1 Agree definitions and source mappings</x:v>
      </x:c>
      <x:c r="D10" s="18" t="n">
        <x:v>0</x:v>
      </x:c>
      <x:c r="E10" s="19" t="str">
        <x:v>Not started</x:v>
      </x:c>
      <x:c r="F10" s="19" t="str">
        <x:v>Process designer</x:v>
      </x:c>
      <x:c r="G10" s="20" t="d">
        <x:v>2026-11-03T00:00:00.000Z</x:v>
      </x:c>
      <x:c r="H10" s="17" t="str">
        <x:v>After T01–T02. With Pranav, define app usage and outcome windows; GTM collections, unpaid invoices and campaign rules; student inputs and denominators.</x:v>
      </x:c>
      <x:c r="I10" s="21"/>
    </x:row>
    <x:row r="11" ht="60" customHeight="1">
      <x:c r="A11" s="9" t="str">
        <x:v>All workstreams</x:v>
      </x:c>
      <x:c r="B11" s="9" t="str">
        <x:v>T03 Verify measurement</x:v>
      </x:c>
      <x:c r="C11" s="3" t="str">
        <x:v>T03.2 Reconcile samples to displayed metrics</x:v>
      </x:c>
      <x:c r="D11" s="12" t="n">
        <x:v>1</x:v>
      </x:c>
      <x:c r="E11" s="13" t="str">
        <x:v>Not started</x:v>
      </x:c>
      <x:c r="F11" s="13" t="str">
        <x:v>Engineer</x:v>
      </x:c>
      <x:c r="G11" s="14" t="d">
        <x:v>2026-11-03T00:00:00.000Z</x:v>
      </x:c>
      <x:c r="H11" s="3" t="str">
        <x:v>After T01–T02. Verify collection and calculation. Separate focus, game and idle time where measurable. A Streak visit is not an achieved streak; missing feedback is not a negative rating.</x:v>
      </x:c>
      <x:c r="I11" s="15"/>
    </x:row>
    <x:row r="12" ht="60" customHeight="1">
      <x:c r="A12" s="16" t="str">
        <x:v>App adoption</x:v>
      </x:c>
      <x:c r="B12" s="16" t="str">
        <x:v>T04 Prepare user evidence</x:v>
      </x:c>
      <x:c r="C12" s="17" t="str">
        <x:v>T04.1 Speak with five students</x:v>
      </x:c>
      <x:c r="D12" s="18" t="n">
        <x:v>0</x:v>
      </x:c>
      <x:c r="E12" s="19" t="str">
        <x:v>Not started</x:v>
      </x:c>
      <x:c r="F12" s="19" t="str">
        <x:v>Pranav</x:v>
      </x:c>
      <x:c r="G12" s="20" t="d">
        <x:v>2026-11-03T00:00:00.000Z</x:v>
      </x:c>
      <x:c r="H12" s="17" t="str">
        <x:v>After T01. Ask about the first focus attempt, daily targets and recording progress. Check whether students already have work set up. Confirm post-Diwali study days and availability.</x:v>
      </x:c>
      <x:c r="I12" s="21"/>
    </x:row>
    <x:row r="13" ht="60" customHeight="1">
      <x:c r="A13" s="9" t="str">
        <x:v>All workstreams</x:v>
      </x:c>
      <x:c r="B13" s="9" t="str">
        <x:v>T04 Prepare user evidence</x:v>
      </x:c>
      <x:c r="C13" s="3" t="str">
        <x:v>T04.2 Observe staff tasks and prepare fixtures</x:v>
      </x:c>
      <x:c r="D13" s="12" t="n">
        <x:v>0</x:v>
      </x:c>
      <x:c r="E13" s="13" t="str">
        <x:v>Not started</x:v>
      </x:c>
      <x:c r="F13" s="13" t="str">
        <x:v>Process designer</x:v>
      </x:c>
      <x:c r="G13" s="14" t="d">
        <x:v>2026-11-03T00:00:00.000Z</x:v>
      </x:c>
      <x:c r="H13" s="3" t="str">
        <x:v>After T01. Ask sales and an advisor to demonstrate a real decision or weekly review. Prepare source examples and expected results with existing business stakeholders.</x:v>
      </x:c>
      <x:c r="I13" s="15"/>
    </x:row>
    <x:row r="14" ht="60" customHeight="1">
      <x:c r="A14" s="16" t="str">
        <x:v>App adoption</x:v>
      </x:c>
      <x:c r="B14" s="16" t="str">
        <x:v>T05 Build focus guidance</x:v>
      </x:c>
      <x:c r="C14" s="17" t="str">
        <x:v>T05.1 Explain the commitment before Start</x:v>
      </x:c>
      <x:c r="D14" s="18" t="n">
        <x:v>1.5</x:v>
      </x:c>
      <x:c r="E14" s="19" t="str">
        <x:v>Not started</x:v>
      </x:c>
      <x:c r="F14" s="19" t="str">
        <x:v>Engineer</x:v>
      </x:c>
      <x:c r="G14" s="20" t="d">
        <x:v>2026-11-05T00:00:00.000Z</x:v>
      </x:c>
      <x:c r="H14" s="17" t="str">
        <x:v>After T03–T04. Use verified behaviour to explain app switching, calls and screen locks before commitment. Keep duration, blocking and reward redesign outside this first slice.</x:v>
      </x:c>
      <x:c r="I14" s="21"/>
    </x:row>
    <x:row r="15" ht="60" customHeight="1">
      <x:c r="A15" s="9" t="str">
        <x:v>App adoption</x:v>
      </x:c>
      <x:c r="B15" s="9" t="str">
        <x:v>T05 Build focus guidance</x:v>
      </x:c>
      <x:c r="C15" s="3" t="str">
        <x:v>T05.2 Add measurement and identify the build</x:v>
      </x:c>
      <x:c r="D15" s="12" t="n">
        <x:v>0.5</x:v>
      </x:c>
      <x:c r="E15" s="13" t="str">
        <x:v>Not started</x:v>
      </x:c>
      <x:c r="F15" s="13" t="str">
        <x:v>Engineer</x:v>
      </x:c>
      <x:c r="G15" s="14" t="d">
        <x:v>2026-11-06T00:00:00.000Z</x:v>
      </x:c>
      <x:c r="H15" s="3" t="str">
        <x:v>After T05.1. Demonstrate the complete flow and identify the candidate version. These two build days exclude device QA, review wait, distribution and student installation.</x:v>
      </x:c>
      <x:c r="I15" s="15"/>
    </x:row>
    <x:row r="16" ht="60" customHeight="1">
      <x:c r="A16" s="16" t="str">
        <x:v>App adoption</x:v>
      </x:c>
      <x:c r="B16" s="16" t="str">
        <x:v>T06 Test and release</x:v>
      </x:c>
      <x:c r="C16" s="17" t="str">
        <x:v>T06.1 Test the interruption paths separately</x:v>
      </x:c>
      <x:c r="D16" s="18" t="n">
        <x:v>0.5</x:v>
      </x:c>
      <x:c r="E16" s="19" t="str">
        <x:v>Not started</x:v>
      </x:c>
      <x:c r="F16" s="19" t="str">
        <x:v>Engineer</x:v>
      </x:c>
      <x:c r="G16" s="20" t="d">
        <x:v>2026-11-10T00:00:00.000Z</x:v>
      </x:c>
      <x:c r="H16" s="17" t="str">
        <x:v>After T02, T05. Check app switching, calls and screen locks on supported devices. Record actual outcomes; fix misleading guidance before distribution.</x:v>
      </x:c>
      <x:c r="I16" s="21"/>
    </x:row>
    <x:row r="17" ht="60" customHeight="1">
      <x:c r="A17" s="9" t="str">
        <x:v>App adoption</x:v>
      </x:c>
      <x:c r="B17" s="9" t="str">
        <x:v>T06 Test and release</x:v>
      </x:c>
      <x:c r="C17" s="3" t="str">
        <x:v>T06.2 Package, submit and track approval</x:v>
      </x:c>
      <x:c r="D17" s="12" t="n">
        <x:v>1</x:v>
      </x:c>
      <x:c r="E17" s="13" t="str">
        <x:v>Not started</x:v>
      </x:c>
      <x:c r="F17" s="13" t="str">
        <x:v>Engineer</x:v>
      </x:c>
      <x:c r="G17" s="14" t="d">
        <x:v>2026-11-11T00:00:00.000Z</x:v>
      </x:c>
      <x:c r="H17" s="3" t="str">
        <x:v>After T06.1. Use the confirmed release route; record review status, version, install instructions and faulty-release response. 11 Nov is the preparation target, not promised approval.</x:v>
      </x:c>
      <x:c r="I17" s="15"/>
    </x:row>
    <x:row r="18" ht="60" customHeight="1">
      <x:c r="A18" s="9" t="str">
        <x:v>App adoption</x:v>
      </x:c>
      <x:c r="B18" s="9" t="str">
        <x:v>T06 Test and release</x:v>
      </x:c>
      <x:c r="C18" s="3" t="str">
        <x:v>T06.3 Run the unaided student check</x:v>
      </x:c>
      <x:c r="D18" s="12" t="n">
        <x:v>0</x:v>
      </x:c>
      <x:c r="E18" s="13" t="str">
        <x:v>Not started</x:v>
      </x:c>
      <x:c r="F18" s="13" t="str">
        <x:v>Process designer</x:v>
      </x:c>
      <x:c r="G18" s="14" t="d">
        <x:v>2026-11-13T00:00:00.000Z</x:v>
      </x:c>
      <x:c r="H18" s="3" t="str">
        <x:v>After T05. A new student can find Focus, understand the commitment and act unaided. If holiday availability prevents this, finish at T08 before the pilot.</x:v>
      </x:c>
      <x:c r="I18" s="15"/>
    </x:row>
    <x:row r="19" ht="76" customHeight="1">
      <x:c r="A19" s="16" t="str">
        <x:v>GTM tracker</x:v>
      </x:c>
      <x:c r="B19" s="16" t="str">
        <x:v>T07 Validate GTM</x:v>
      </x:c>
      <x:c r="C19" s="17" t="str">
        <x:v>T07.1 Connect Meta, Razorpay and ClickUp</x:v>
      </x:c>
      <x:c r="D19" s="18" t="n">
        <x:v>1.5</x:v>
      </x:c>
      <x:c r="E19" s="19" t="str">
        <x:v>Not started</x:v>
      </x:c>
      <x:c r="F19" s="19" t="str">
        <x:v>Engineer</x:v>
      </x:c>
      <x:c r="G19" s="20" t="d">
        <x:v>2026-11-13T00:00:00.000Z</x:v>
      </x:c>
      <x:c r="H19" s="17" t="str">
        <x:v>Sources: Meta Ads (campaign spend, CTR and frequency), Razorpay and ClickUp. Trace programme/workshop leads through invoice, collection and onboarding. After T02–T04; follows T06 in the engineer schedule.</x:v>
      </x:c>
      <x:c r="I19" s="21"/>
    </x:row>
    <x:row r="20" ht="60" customHeight="1">
      <x:c r="A20" s="16" t="str">
        <x:v>App adoption</x:v>
      </x:c>
      <x:c r="B20" s="16" t="str">
        <x:v>T08 Check pilot readiness</x:v>
      </x:c>
      <x:c r="C20" s="17" t="str">
        <x:v>T08.1 Verify installation and reporting</x:v>
      </x:c>
      <x:c r="D20" s="18" t="n">
        <x:v>0.5</x:v>
      </x:c>
      <x:c r="E20" s="19" t="str">
        <x:v>Not started</x:v>
      </x:c>
      <x:c r="F20" s="19" t="str">
        <x:v>Engineer</x:v>
      </x:c>
      <x:c r="G20" s="20" t="d">
        <x:v>2026-11-16T00:00:00.000Z</x:v>
      </x:c>
      <x:c r="H20" s="17" t="str">
        <x:v>After T04, T06. Approval must be complete where required. Record installed versions and verify one sample session/outcome appears once. Move the pilot if a gate is incomplete.</x:v>
      </x:c>
      <x:c r="I20" s="21"/>
    </x:row>
    <x:row r="21" ht="60" customHeight="1">
      <x:c r="A21" s="9" t="str">
        <x:v>App adoption</x:v>
      </x:c>
      <x:c r="B21" s="9" t="str">
        <x:v>T08 Check pilot readiness</x:v>
      </x:c>
      <x:c r="C21" s="3" t="str">
        <x:v>T08.2 Confirm usability and participant dates</x:v>
      </x:c>
      <x:c r="D21" s="12" t="n">
        <x:v>0</x:v>
      </x:c>
      <x:c r="E21" s="13" t="str">
        <x:v>Not started</x:v>
      </x:c>
      <x:c r="F21" s="13" t="str">
        <x:v>Process designer</x:v>
      </x:c>
      <x:c r="G21" s="14" t="d">
        <x:v>2026-11-16T00:00:00.000Z</x:v>
      </x:c>
      <x:c r="H21" s="3" t="str">
        <x:v>After T06 and alongside T08.1. Complete the unaided check. Pranav confirms availability; record each actual start and expected study days. No observation starts before readiness.</x:v>
      </x:c>
      <x:c r="I21" s="15"/>
    </x:row>
    <x:row r="22" ht="70" customHeight="1">
      <x:c r="A22" s="16" t="str">
        <x:v>GTM tracker</x:v>
      </x:c>
      <x:c r="B22" s="16" t="str">
        <x:v>T07 Validate GTM</x:v>
      </x:c>
      <x:c r="C22" s="17" t="str">
        <x:v>T07.2 Reconcile figures and expose exceptions</x:v>
      </x:c>
      <x:c r="D22" s="18" t="n">
        <x:v>1</x:v>
      </x:c>
      <x:c r="E22" s="19" t="str">
        <x:v>Not started</x:v>
      </x:c>
      <x:c r="F22" s="19" t="str">
        <x:v>Engineer</x:v>
      </x:c>
      <x:c r="G22" s="20" t="d">
        <x:v>2026-11-17T00:00:00.000Z</x:v>
      </x:c>
      <x:c r="H22" s="17" t="str">
        <x:v>After T07.1; follows T08.1. Check selected periods, unpaid invoices, trial renewals and agreed campaign rules. Surface missing/stale/rejected inputs; label unavailable creative or landing-page measures.</x:v>
      </x:c>
      <x:c r="I22" s="21"/>
    </x:row>
    <x:row r="23" ht="60" customHeight="1">
      <x:c r="A23" s="9" t="str">
        <x:v>GTM tracker</x:v>
      </x:c>
      <x:c r="B23" s="9" t="str">
        <x:v>T07 Validate GTM</x:v>
      </x:c>
      <x:c r="C23" s="3" t="str">
        <x:v>T07.3 Accept the figures and staff decision</x:v>
      </x:c>
      <x:c r="D23" s="12" t="n">
        <x:v>0</x:v>
      </x:c>
      <x:c r="E23" s="13" t="str">
        <x:v>Not started</x:v>
      </x:c>
      <x:c r="F23" s="13" t="str">
        <x:v>Process designer</x:v>
      </x:c>
      <x:c r="G23" s="14" t="d">
        <x:v>2026-11-17T00:00:00.000Z</x:v>
      </x:c>
      <x:c r="H23" s="3" t="str">
        <x:v>After T07.2. Repeated ₹3,999 payment counts once; unpaid invoice stays outstanding. A staff user can explain a figure and the action it supports unaided. Pranav accepts the result.</x:v>
      </x:c>
      <x:c r="I23" s="15"/>
    </x:row>
    <x:row r="24" ht="60" customHeight="1">
      <x:c r="A24" s="16" t="str">
        <x:v>Student dashboard</x:v>
      </x:c>
      <x:c r="B24" s="16" t="str">
        <x:v>T10 Complete student pilot</x:v>
      </x:c>
      <x:c r="C24" s="17" t="str">
        <x:v>T10.1 Connect individual and cohort views</x:v>
      </x:c>
      <x:c r="D24" s="18" t="n">
        <x:v>1.5</x:v>
      </x:c>
      <x:c r="E24" s="19" t="str">
        <x:v>Not started</x:v>
      </x:c>
      <x:c r="F24" s="19" t="str">
        <x:v>Engineer</x:v>
      </x:c>
      <x:c r="G24" s="20" t="d">
        <x:v>2026-11-18T00:00:00.000Z</x:v>
      </x:c>
      <x:c r="H24" s="17" t="str">
        <x:v>After T02–T04 and T07 implementation. Capture one weekly-review record once; show it in individual and cohort views for the correct period. Start from the existing dashboard.</x:v>
      </x:c>
      <x:c r="I24" s="21"/>
    </x:row>
    <x:row r="25" ht="60" customHeight="1">
      <x:c r="A25" s="9" t="str">
        <x:v>Student dashboard</x:v>
      </x:c>
      <x:c r="B25" s="9" t="str">
        <x:v>T10 Complete student pilot</x:v>
      </x:c>
      <x:c r="C25" s="3" t="str">
        <x:v>T10.2 Check sources and automation</x:v>
      </x:c>
      <x:c r="D25" s="12" t="n">
        <x:v>1</x:v>
      </x:c>
      <x:c r="E25" s="13" t="str">
        <x:v>Not started</x:v>
      </x:c>
      <x:c r="F25" s="13" t="str">
        <x:v>Engineer</x:v>
      </x:c>
      <x:c r="G25" s="14" t="d">
        <x:v>2026-11-19T00:00:00.000Z</x:v>
      </x:c>
      <x:c r="H25" s="3" t="str">
        <x:v>After T10.1. Validate delivery quantity, feedback quality and student performance with response counts and denominators. Confirm n8n uses the agreed identities and reporting periods.</x:v>
      </x:c>
      <x:c r="I25" s="15"/>
    </x:row>
    <x:row r="26" ht="60" customHeight="1">
      <x:c r="A26" s="16" t="str">
        <x:v>App adoption</x:v>
      </x:c>
      <x:c r="B26" s="16" t="str">
        <x:v>T09 Run focus pilot</x:v>
      </x:c>
      <x:c r="C26" s="17" t="str">
        <x:v>T09.1 Observe use without coaching</x:v>
      </x:c>
      <x:c r="D26" s="18" t="n">
        <x:v>0</x:v>
      </x:c>
      <x:c r="E26" s="19" t="str">
        <x:v>Not started</x:v>
      </x:c>
      <x:c r="F26" s="19" t="str">
        <x:v>Pranav</x:v>
      </x:c>
      <x:c r="G26" s="20" t="d">
        <x:v>2026-11-20T00:00:00.000Z</x:v>
      </x:c>
      <x:c r="H26" s="17" t="str">
        <x:v>After T08; target 16–20 Nov. Record completion, abandonment, help required and installed version. Separate new/existing users and absence. Stop further rollout for a material failure.</x:v>
      </x:c>
      <x:c r="I26" s="21"/>
    </x:row>
    <x:row r="27" ht="60" customHeight="1">
      <x:c r="A27" s="16" t="str">
        <x:v>Student dashboard</x:v>
      </x:c>
      <x:c r="B27" s="16" t="str">
        <x:v>T10 Complete student pilot</x:v>
      </x:c>
      <x:c r="C27" s="17" t="str">
        <x:v>T10.3 Handle missing, late and corrected data</x:v>
      </x:c>
      <x:c r="D27" s="18" t="n">
        <x:v>1</x:v>
      </x:c>
      <x:c r="E27" s="19" t="str">
        <x:v>Not started</x:v>
      </x:c>
      <x:c r="F27" s="19" t="str">
        <x:v>Engineer</x:v>
      </x:c>
      <x:c r="G27" s="20" t="d">
        <x:v>2026-11-23T00:00:00.000Z</x:v>
      </x:c>
      <x:c r="H27" s="17" t="str">
        <x:v>After T10.2. Missing wearable data remains missing. Late/corrected records reach the right week without duplicate entries or false zeroes. Complete these checks before accepting the pilot.</x:v>
      </x:c>
      <x:c r="I27" s="21"/>
    </x:row>
    <x:row r="28" ht="60" customHeight="1">
      <x:c r="A28" s="9" t="str">
        <x:v>Student dashboard</x:v>
      </x:c>
      <x:c r="B28" s="9" t="str">
        <x:v>T10 Complete student pilot</x:v>
      </x:c>
      <x:c r="C28" s="3" t="str">
        <x:v>T10.4 Run an advisor weekly review</x:v>
      </x:c>
      <x:c r="D28" s="12" t="n">
        <x:v>0</x:v>
      </x:c>
      <x:c r="E28" s="13" t="str">
        <x:v>Not started</x:v>
      </x:c>
      <x:c r="F28" s="13" t="str">
        <x:v>Process designer</x:v>
      </x:c>
      <x:c r="G28" s="14" t="d">
        <x:v>2026-11-23T00:00:00.000Z</x:v>
      </x:c>
      <x:c r="H28" s="3" t="str">
        <x:v>After T10.3. The advisor uses the view without recreating the same record elsewhere. Record preparation time, coverage and help required. Pranav reviews the outcome.</x:v>
      </x:c>
      <x:c r="I28" s="15"/>
    </x:row>
    <x:row r="29" ht="60" customHeight="1">
      <x:c r="A29" s="16" t="str">
        <x:v>Operations</x:v>
      </x:c>
      <x:c r="B29" s="16" t="str">
        <x:v>T12 Practise recovery</x:v>
      </x:c>
      <x:c r="C29" s="17" t="str">
        <x:v>T12.1 Test duplicate, stale and replay paths</x:v>
      </x:c>
      <x:c r="D29" s="18" t="n">
        <x:v>1</x:v>
      </x:c>
      <x:c r="E29" s="19" t="str">
        <x:v>Not started</x:v>
      </x:c>
      <x:c r="F29" s="19" t="str">
        <x:v>Engineer</x:v>
      </x:c>
      <x:c r="G29" s="20" t="d">
        <x:v>2026-11-24T00:00:00.000Z</x:v>
      </x:c>
      <x:c r="H29" s="17" t="str">
        <x:v>After T07, T08, T10. Run the Acceptance checks scenarios; reconcile before/after totals. A failed record has an owner and can recover without repeating completed work.</x:v>
      </x:c>
      <x:c r="I29" s="21"/>
    </x:row>
    <x:row r="30" ht="60" customHeight="1">
      <x:c r="A30" s="9" t="str">
        <x:v>Operations</x:v>
      </x:c>
      <x:c r="B30" s="9" t="str">
        <x:v>T12 Practise recovery</x:v>
      </x:c>
      <x:c r="C30" s="3" t="str">
        <x:v>T12.2 Let the operator run a recovery</x:v>
      </x:c>
      <x:c r="D30" s="12" t="n">
        <x:v>0</x:v>
      </x:c>
      <x:c r="E30" s="13" t="str">
        <x:v>Not started</x:v>
      </x:c>
      <x:c r="F30" s="13" t="str">
        <x:v>Process designer</x:v>
      </x:c>
      <x:c r="G30" s="14" t="d">
        <x:v>2026-11-24T00:00:00.000Z</x:v>
      </x:c>
      <x:c r="H30" s="3" t="str">
        <x:v>After T12.1. Follow the routine recovery instructions without editing code. Replaying input must not resend old renewal or task reminders. Keep evidence with the workflow export.</x:v>
      </x:c>
      <x:c r="I30" s="15"/>
    </x:row>
    <x:row r="31" ht="60" customHeight="1">
      <x:c r="A31" s="16" t="str">
        <x:v>Operations</x:v>
      </x:c>
      <x:c r="B31" s="16" t="str">
        <x:v>T13 Fix and hand over</x:v>
      </x:c>
      <x:c r="C31" s="17" t="str">
        <x:v>T13.1 Fix priority defects and repeat checks</x:v>
      </x:c>
      <x:c r="D31" s="18" t="n">
        <x:v>1</x:v>
      </x:c>
      <x:c r="E31" s="19" t="str">
        <x:v>Not started</x:v>
      </x:c>
      <x:c r="F31" s="19" t="str">
        <x:v>Engineer</x:v>
      </x:c>
      <x:c r="G31" s="20" t="d">
        <x:v>2026-11-26T00:00:00.000Z</x:v>
      </x:c>
      <x:c r="H31" s="17" t="str">
        <x:v>After T07, T10 and relevant T12 results. Fix the highest-impact issues, repeat affected checks and keep unresolved limitations visible. Pranav controls scope.</x:v>
      </x:c>
      <x:c r="I31" s="21"/>
    </x:row>
    <x:row r="32" ht="60" customHeight="1">
      <x:c r="A32" s="16" t="str">
        <x:v>App adoption</x:v>
      </x:c>
      <x:c r="B32" s="16" t="str">
        <x:v>T11 Review focus follow-up</x:v>
      </x:c>
      <x:c r="C32" s="17" t="str">
        <x:v>T11.1 Review each full seven-day window</x:v>
      </x:c>
      <x:c r="D32" s="18" t="n">
        <x:v>0</x:v>
      </x:c>
      <x:c r="E32" s="19" t="str">
        <x:v>Not started</x:v>
      </x:c>
      <x:c r="F32" s="19" t="str">
        <x:v>Pranav</x:v>
      </x:c>
      <x:c r="G32" s="20" t="d">
        <x:v>2026-11-27T00:00:00.000Z</x:v>
      </x:c>
      <x:c r="H32" s="17" t="str">
        <x:v>After T09. With the designer, report repeat-use counts, denominators and missing follow-up. Include holidays/absence and equivalent comparison windows. Small-sample findings are directional.</x:v>
      </x:c>
      <x:c r="I32" s="21"/>
    </x:row>
    <x:row r="33" ht="60" customHeight="1">
      <x:c r="A33" s="16" t="str">
        <x:v>Operations</x:v>
      </x:c>
      <x:c r="B33" s="16" t="str">
        <x:v>T13 Fix and hand over</x:v>
      </x:c>
      <x:c r="C33" s="17" t="str">
        <x:v>T13.2 Package the operating handover</x:v>
      </x:c>
      <x:c r="D33" s="18" t="n">
        <x:v>1</x:v>
      </x:c>
      <x:c r="E33" s="19" t="str">
        <x:v>Not started</x:v>
      </x:c>
      <x:c r="F33" s="19" t="str">
        <x:v>Engineer</x:v>
      </x:c>
      <x:c r="G33" s="20" t="d">
        <x:v>2026-11-27T00:00:00.000Z</x:v>
      </x:c>
      <x:c r="H33" s="17" t="str">
        <x:v>After T13.1. Name the operator, fallback and escalation route. Link working views, definitions, release evidence, SQL/schema, n8n export and recovery steps.</x:v>
      </x:c>
      <x:c r="I33" s="21"/>
    </x:row>
    <x:row r="34" ht="60" customHeight="1">
      <x:c r="A34" s="9" t="str">
        <x:v>Operations</x:v>
      </x:c>
      <x:c r="B34" s="9" t="str">
        <x:v>T13 Fix and hand over</x:v>
      </x:c>
      <x:c r="C34" s="3" t="str">
        <x:v>T13.3 Check that a colleague can operate it</x:v>
      </x:c>
      <x:c r="D34" s="12" t="n">
        <x:v>0</x:v>
      </x:c>
      <x:c r="E34" s="13" t="str">
        <x:v>Not started</x:v>
      </x:c>
      <x:c r="F34" s="13" t="str">
        <x:v>Process designer</x:v>
      </x:c>
      <x:c r="G34" s="14" t="d">
        <x:v>2026-11-27T00:00:00.000Z</x:v>
      </x:c>
      <x:c r="H34" s="3" t="str">
        <x:v>After T13.2. Use the flow and resolve a routine exception without code changes. Check access to the linked documents; record any remaining help required.</x:v>
      </x:c>
      <x:c r="I34" s="15"/>
    </x:row>
    <x:row r="35" ht="60" customHeight="1">
      <x:c r="A35" s="16" t="str">
        <x:v>All workstreams</x:v>
      </x:c>
      <x:c r="B35" s="16" t="str">
        <x:v>T14 Review outcomes</x:v>
      </x:c>
      <x:c r="C35" s="17" t="str">
        <x:v>T14.1 Prepare evidence and maintenance costs</x:v>
      </x:c>
      <x:c r="D35" s="18" t="n">
        <x:v>1</x:v>
      </x:c>
      <x:c r="E35" s="19" t="str">
        <x:v>Not started</x:v>
      </x:c>
      <x:c r="F35" s="19" t="str">
        <x:v>Engineer</x:v>
      </x:c>
      <x:c r="G35" s="20" t="d">
        <x:v>2026-11-30T00:00:00.000Z</x:v>
      </x:c>
      <x:c r="H35" s="17" t="str">
        <x:v>After T07, T10–T11, T13. Support Pranav with reconciled figures, missing-data limits, defects and ongoing operating effort. Do not label a late pilot successful before its window ends.</x:v>
      </x:c>
      <x:c r="I35" s="21"/>
    </x:row>
    <x:row r="36" ht="60" customHeight="1">
      <x:c r="A36" s="9" t="str">
        <x:v>All workstreams</x:v>
      </x:c>
      <x:c r="B36" s="9" t="str">
        <x:v>T14 Review outcomes</x:v>
      </x:c>
      <x:c r="C36" s="3" t="str">
        <x:v>T14.2 Decide Keep, Improve or Stop</x:v>
      </x:c>
      <x:c r="D36" s="12" t="n">
        <x:v>0</x:v>
      </x:c>
      <x:c r="E36" s="13" t="str">
        <x:v>Not started</x:v>
      </x:c>
      <x:c r="F36" s="13" t="str">
        <x:v>Pranav</x:v>
      </x:c>
      <x:c r="G36" s="14" t="d">
        <x:v>2026-11-30T00:00:00.000Z</x:v>
      </x:c>
      <x:c r="H36" s="3" t="str">
        <x:v>After T14.1. Consider user benefit, data quality and operator effort. If inconclusive, run one further week with a specific question; otherwise change the test or stop. Date the decision.</x:v>
      </x:c>
      <x:c r="I36" s="15"/>
    </x:row>
    <x:row r="37">
      <x:c r="A37"/>
      <x:c r="B37"/>
      <x:c r="C37"/>
      <x:c r="D37"/>
      <x:c r="E37"/>
      <x:c r="F37"/>
      <x:c r="G37"/>
      <x:c r="H37"/>
      <x:c r="I37"/>
    </x:row>
  </x:sheetData>
  <x:mergeCells>
    <x:mergeCell ref="A1:I1"/>
    <x:mergeCell ref="A2:I2"/>
    <x:mergeCell ref="A3:I3"/>
  </x:mergeCells>
  <x:conditionalFormatting sqref="E6:E505">
    <x:cfRule type="cellIs" dxfId="0" priority="1" operator="equal">
      <x:formula>"Not started"</x:formula>
    </x:cfRule>
    <x:cfRule type="cellIs" dxfId="1" priority="2" operator="equal">
      <x:formula>"In progress"</x:formula>
    </x:cfRule>
    <x:cfRule type="cellIs" dxfId="2" priority="3" operator="equal">
      <x:formula>"In review"</x:formula>
    </x:cfRule>
    <x:cfRule type="cellIs" dxfId="3" priority="4" operator="equal">
      <x:formula>"Blocked"</x:formula>
    </x:cfRule>
    <x:cfRule type="cellIs" dxfId="4" priority="5" operator="equal">
      <x:formula>"Done"</x:formula>
    </x:cfRule>
  </x:conditionalFormatting>
  <x:dataValidations count="2">
    <x:dataValidation type="list" sqref="E6:E505">
      <x:formula1>"Not started,In progress,In review,Blocked,Done"</x:formula1>
    </x:dataValidation>
    <x:dataValidation type="list" sqref="F6:F505">
      <x:formula1>"Pranav,Process designer,Engineer"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9cdef669f0488a"/>
  </x:tableParts>
</x:worksheet>
</file>

<file path=xl/worksheets/sheet2.xml><?xml version="1.0" encoding="utf-8"?>
<x:worksheet xmlns:x="http://schemas.openxmlformats.org/spreadsheetml/2006/main">
  <x:sheetPr>
    <x:tabColor rgb="FF2475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9" hidden="0" customWidth="1"/>
    <x:col min="4" max="4" width="17" hidden="0" customWidth="1"/>
    <x:col min="5" max="5" width="16" hidden="0" customWidth="1"/>
    <x:col min="6" max="6" width="16" hidden="0" customWidth="1"/>
    <x:col min="7" max="7" width="55" hidden="0" customWidth="1"/>
  </x:cols>
  <x:sheetData>
    <x:row r="1" ht="29" customHeight="1">
      <x:c r="A1" s="4" t="str">
        <x:v>Weekly allocation | November 2026</x:v>
      </x:c>
      <x:c r="B1" s="4"/>
      <x:c r="C1" s="4"/>
      <x:c r="D1" s="4"/>
      <x:c r="E1" s="4"/>
      <x:c r="F1" s="4"/>
      <x:c r="G1" s="4"/>
    </x:row>
    <x:row r="2" ht="26" customHeight="1">
      <x:c r="A2" s="5" t="str">
        <x:v>One engineer implementation stream. Planned days below recalculate from Engineer days and ETC in Workplan.</x:v>
      </x:c>
      <x:c r="B2" s="5"/>
      <x:c r="C2" s="5"/>
      <x:c r="D2" s="5"/>
      <x:c r="E2" s="5"/>
      <x:c r="F2" s="5"/>
      <x:c r="G2" s="5"/>
    </x:row>
    <x:row r="3" ht="26" customHeight="1">
      <x:c r="A3" s="6" t="str">
        <x:v>Weekdays are nominal Monday–Friday capacity, before holidays and leave. Review wait adds elapsed time; it is not continuous engineer effort.</x:v>
      </x:c>
      <x:c r="B3" s="6"/>
      <x:c r="C3" s="6"/>
      <x:c r="D3" s="6"/>
      <x:c r="E3" s="6"/>
      <x:c r="F3" s="6"/>
      <x:c r="G3" s="6"/>
    </x:row>
    <x:row r="4" ht="9" customHeight="1">
      <x:c r="A4" s="3"/>
      <x:c r="B4" s="3"/>
      <x:c r="C4" s="3"/>
      <x:c r="D4" s="3"/>
      <x:c r="E4" s="3"/>
      <x:c r="F4" s="3"/>
      <x:c r="G4" s="3"/>
    </x:row>
    <x:row r="5" ht="31" customHeight="1">
      <x:c r="A5" s="8" t="str">
        <x:v>Week start</x:v>
      </x:c>
      <x:c r="B5" s="8" t="str">
        <x:v>Week end</x:v>
      </x:c>
      <x:c r="C5" s="8" t="str">
        <x:v>Main delivery</x:v>
      </x:c>
      <x:c r="D5" s="8" t="str">
        <x:v>Engineer days</x:v>
      </x:c>
      <x:c r="E5" s="8" t="str">
        <x:v>Weekdays</x:v>
      </x:c>
      <x:c r="F5" s="8" t="str">
        <x:v>Reserve days</x:v>
      </x:c>
      <x:c r="G5" s="8" t="str">
        <x:v>Review / decision</x:v>
      </x:c>
    </x:row>
    <x:row r="6" ht="79" customHeight="1">
      <x:c r="A6" s="22" t="d">
        <x:v>2026-11-02T00:00:00.000Z</x:v>
      </x:c>
      <x:c r="B6" s="22" t="d">
        <x:v>2026-11-06T00:00:00.000Z</x:v>
      </x:c>
      <x:c r="C6" s="23" t="str">
        <x:v>Access/reuse audit; verify metrics; narrow Focus guidance build.</x:v>
      </x:c>
      <x:c r="D6" s="28" t="n">
        <x:f>SUMIFS('Workplan'!$D$6:$D$505,'Workplan'!$G$6:$G$505,"&gt;="&amp;A6,'Workplan'!$G$6:$G$505,"&lt;="&amp;B6)</x:f>
        <x:v>4</x:v>
      </x:c>
      <x:c r="E6" s="28" t="n">
        <x:f>NETWORKDAYS(A6,B6)</x:f>
        <x:v>5</x:v>
      </x:c>
      <x:c r="F6" s="28" t="n">
        <x:f>E6-D6</x:f>
        <x:v>1</x:v>
      </x:c>
      <x:c r="G6" s="23" t="str">
        <x:v>Pranav: outcomes and five interviews. Designer: definitions, mappings and the first unaided flow check.</x:v>
      </x:c>
    </x:row>
    <x:row r="7" ht="79" customHeight="1">
      <x:c r="A7" s="25" t="d">
        <x:v>2026-11-09T00:00:00.000Z</x:v>
      </x:c>
      <x:c r="B7" s="25" t="d">
        <x:v>2026-11-13T00:00:00.000Z</x:v>
      </x:c>
      <x:c r="C7" s="26" t="str">
        <x:v>Focus device QA and release preparation; begin GTM connection.</x:v>
      </x:c>
      <x:c r="D7" s="29" t="n">
        <x:f>SUMIFS('Workplan'!$D$6:$D$505,'Workplan'!$G$6:$G$505,"&gt;="&amp;A7,'Workplan'!$G$6:$G$505,"&lt;="&amp;B7)</x:f>
        <x:v>3</x:v>
      </x:c>
      <x:c r="E7" s="29" t="n">
        <x:f>NETWORKDAYS(A7,B7)</x:f>
        <x:v>5</x:v>
      </x:c>
      <x:c r="F7" s="29" t="n">
        <x:f>E7-D7</x:f>
        <x:v>2</x:v>
      </x:c>
      <x:c r="G7" s="26" t="str">
        <x:v>Confirm approval status and post-Diwali availability. Use this week for internal work where staff are available.</x:v>
      </x:c>
    </x:row>
    <x:row r="8" ht="79" customHeight="1">
      <x:c r="A8" s="25" t="d">
        <x:v>2026-11-16T00:00:00.000Z</x:v>
      </x:c>
      <x:c r="B8" s="25" t="d">
        <x:v>2026-11-20T00:00:00.000Z</x:v>
      </x:c>
      <x:c r="C8" s="26" t="str">
        <x:v>Verify Focus installs; finish GTM; start student dashboard sources and views.</x:v>
      </x:c>
      <x:c r="D8" s="29" t="n">
        <x:f>SUMIFS('Workplan'!$D$6:$D$505,'Workplan'!$G$6:$G$505,"&gt;="&amp;A8,'Workplan'!$G$6:$G$505,"&lt;="&amp;B8)</x:f>
        <x:v>4</x:v>
      </x:c>
      <x:c r="E8" s="29" t="n">
        <x:f>NETWORKDAYS(A8,B8)</x:f>
        <x:v>5</x:v>
      </x:c>
      <x:c r="F8" s="29" t="n">
        <x:f>E8-D8</x:f>
        <x:v>1</x:v>
      </x:c>
      <x:c r="G8" s="26" t="str">
        <x:v>Target Focus pilot: 16 Nov, only after release, usability and install gates. Accept GTM figures and the staff decision.</x:v>
      </x:c>
    </x:row>
    <x:row r="9" ht="79" customHeight="1">
      <x:c r="A9" s="25" t="d">
        <x:v>2026-11-23T00:00:00.000Z</x:v>
      </x:c>
      <x:c r="B9" s="25" t="d">
        <x:v>2026-11-27T00:00:00.000Z</x:v>
      </x:c>
      <x:c r="C9" s="26" t="str">
        <x:v>Finish student-data checks; test recovery; priority fixes and operator handover.</x:v>
      </x:c>
      <x:c r="D9" s="29" t="n">
        <x:f>SUMIFS('Workplan'!$D$6:$D$505,'Workplan'!$G$6:$G$505,"&gt;="&amp;A9,'Workplan'!$G$6:$G$505,"&lt;="&amp;B9)</x:f>
        <x:v>4</x:v>
      </x:c>
      <x:c r="E9" s="29" t="n">
        <x:f>NETWORKDAYS(A9,B9)</x:f>
        <x:v>5</x:v>
      </x:c>
      <x:c r="F9" s="29" t="n">
        <x:f>E9-D9</x:f>
        <x:v>1</x:v>
      </x:c>
      <x:c r="G9" s="26" t="str">
        <x:v>Advisor weekly review; seven-day Focus follow-up. Respect actual participant start dates and missing follow-up.</x:v>
      </x:c>
    </x:row>
    <x:row r="10" ht="79" customHeight="1">
      <x:c r="A10" s="20" t="d">
        <x:v>2026-11-30T00:00:00.000Z</x:v>
      </x:c>
      <x:c r="B10" s="20" t="d">
        <x:v>2026-11-30T00:00:00.000Z</x:v>
      </x:c>
      <x:c r="C10" s="17" t="str">
        <x:v>Review evidence and operating effort.</x:v>
      </x:c>
      <x:c r="D10" s="30" t="n">
        <x:f>SUMIFS('Workplan'!$D$6:$D$505,'Workplan'!$G$6:$G$505,"&gt;="&amp;A10,'Workplan'!$G$6:$G$505,"&lt;="&amp;B10)</x:f>
        <x:v>1</x:v>
      </x:c>
      <x:c r="E10" s="30" t="n">
        <x:f>NETWORKDAYS(A10,B10)</x:f>
        <x:v>1</x:v>
      </x:c>
      <x:c r="F10" s="30" t="n">
        <x:f>E10-D10</x:f>
        <x:v>0</x:v>
      </x:c>
      <x:c r="G10" s="17" t="str">
        <x:v>Pranav: Keep, Improve or Stop. A late pilot may need a later outcome review.</x:v>
      </x:c>
    </x:row>
    <x:row r="11" ht="29" customHeight="1">
      <x:c r="A11" s="32" t="str">
        <x:v>Total</x:v>
      </x:c>
      <x:c r="B11" s="32"/>
      <x:c r="C11" s="32"/>
      <x:c r="D11" s="33" t="n">
        <x:f>SUM(D6:D10)</x:f>
        <x:v>16</x:v>
      </x:c>
      <x:c r="E11" s="33" t="n">
        <x:f>SUM(E6:E10)</x:f>
        <x:v>21</x:v>
      </x:c>
      <x:c r="F11" s="33" t="n">
        <x:f>SUM(F6:F10)</x:f>
        <x:v>5</x:v>
      </x:c>
      <x:c r="G11" s="32"/>
    </x:row>
    <x:row r="12">
      <x:c r="A12" s="3"/>
      <x:c r="B12" s="3"/>
      <x:c r="C12" s="3"/>
      <x:c r="D12" s="12"/>
      <x:c r="E12" s="12"/>
      <x:c r="F12" s="12"/>
      <x:c r="G12" s="3"/>
    </x:row>
    <x:row r="13">
      <x:c r="A13" s="3"/>
      <x:c r="B13" s="3"/>
      <x:c r="C13" s="3"/>
      <x:c r="D13" s="12"/>
      <x:c r="E13" s="12"/>
      <x:c r="F13" s="12"/>
      <x:c r="G13" s="3"/>
    </x:row>
    <x:row r="14" ht="28" customHeight="1">
      <x:c r="A14" s="3" t="str">
        <x:v>Planned engineer-day cap (editable)</x:v>
      </x:c>
      <x:c r="B14" s="3"/>
      <x:c r="C14" s="3"/>
      <x:c r="D14" s="35" t="n">
        <x:v>16</x:v>
      </x:c>
      <x:c r="E14" s="12"/>
      <x:c r="F14" s="12"/>
      <x:c r="G14" s="3"/>
    </x:row>
    <x:row r="15" ht="28" customHeight="1">
      <x:c r="A15" s="3" t="str">
        <x:v>Room within the planned-day cap</x:v>
      </x:c>
      <x:c r="B15" s="3"/>
      <x:c r="C15" s="3"/>
      <x:c r="D15" s="36" t="n">
        <x:f>D14-D11</x:f>
        <x:v>0</x:v>
      </x:c>
      <x:c r="E15" s="12"/>
      <x:c r="F15" s="12"/>
      <x:c r="G15" s="3"/>
    </x:row>
    <x:row r="16">
      <x:c r="A16" s="3"/>
      <x:c r="B16" s="3"/>
      <x:c r="C16" s="3"/>
      <x:c r="D16" s="3"/>
      <x:c r="E16" s="3"/>
      <x:c r="F16" s="3"/>
      <x:c r="G16" s="3"/>
    </x:row>
    <x:row r="17" ht="35" customHeight="1">
      <x:c r="A17" s="5" t="str">
        <x:v>Working: someone can complete the flow and trust the result. Successful: the agreed measure improves and people keep using it.</x:v>
      </x:c>
      <x:c r="B17" s="5"/>
      <x:c r="C17" s="5"/>
      <x:c r="D17" s="5"/>
      <x:c r="E17" s="5"/>
      <x:c r="F17" s="5"/>
      <x:c r="G17" s="5"/>
    </x:row>
    <x:row r="18" ht="35" customHeight="1">
      <x:c r="A18" s="5" t="str">
        <x:v>Reuse assumption: audit the completed GTM tracker, student dashboard and n8n workflow on 2 Nov. If access or source gaps require more work, reduce scope or change dates.</x:v>
      </x:c>
      <x:c r="B18" s="5"/>
      <x:c r="C18" s="5"/>
      <x:c r="D18" s="5"/>
      <x:c r="E18" s="5"/>
      <x:c r="F18" s="5"/>
      <x:c r="G18" s="5"/>
    </x:row>
    <x:row r="19" ht="35" customHeight="1">
      <x:c r="A19" s="5" t="str">
        <x:v>Calendar: Diwali is 8 Nov. Confirm school schedules, family availability and team leave. Target Focus observation from 16 Nov; a release delay moves the pilot and follow-up.</x:v>
      </x:c>
      <x:c r="B19" s="5"/>
      <x:c r="C19" s="5"/>
      <x:c r="D19" s="5"/>
      <x:c r="E19" s="5"/>
      <x:c r="F19" s="5"/>
      <x:c r="G19" s="5"/>
    </x:row>
    <x:row r="20" ht="35" customHeight="1">
      <x:c r="A20" s="5" t="str">
        <x:v>Cadence: Monday 30-minute planning; daily short task updates; Friday 30-minute demo/review. Pranav resolves blockers lasting more than one working day.</x:v>
      </x:c>
      <x:c r="B20" s="5"/>
      <x:c r="C20" s="5"/>
      <x:c r="D20" s="5"/>
      <x:c r="E20" s="5"/>
      <x:c r="F20" s="5"/>
      <x:c r="G20" s="5"/>
    </x:row>
    <x:row r="21">
      <x:c r="A21" s="3"/>
      <x:c r="B21" s="3"/>
      <x:c r="C21" s="3"/>
      <x:c r="D21" s="3"/>
      <x:c r="E21" s="3"/>
      <x:c r="F21" s="3"/>
      <x:c r="G21" s="3"/>
    </x:row>
    <x:row r="22">
      <x:c r="A22" s="3"/>
      <x:c r="B22" s="3"/>
      <x:c r="C22" s="3"/>
      <x:c r="D22" s="3"/>
      <x:c r="E22" s="3"/>
      <x:c r="F22" s="3"/>
      <x:c r="G22" s="3"/>
    </x:row>
    <x:row r="23" ht="24" customHeight="1">
      <x:c r="A23" s="9" t="str">
        <x:v>Calendar and release references</x:v>
      </x:c>
      <x:c r="B23" s="9"/>
      <x:c r="C23" s="9"/>
      <x:c r="D23" s="9"/>
      <x:c r="E23" s="9"/>
      <x:c r="F23" s="9"/>
      <x:c r="G23" s="9"/>
    </x:row>
    <x:row r="24" ht="30" customHeight="1">
      <x:c r="A24" s="3" t="str">
        <x:v>Diwali 2026 · 8 November</x:v>
      </x:c>
      <x:c r="B24" s="3"/>
      <x:c r="C24" s="3"/>
      <x:c r="D24" s="37" t="str">
        <x:v>https://www.timeanddate.com/holidays/india/diwali?year=2026</x:v>
      </x:c>
      <x:c r="E24" s="37"/>
      <x:c r="F24" s="37"/>
      <x:c r="G24" s="37"/>
    </x:row>
    <x:row r="25" ht="30" customHeight="1">
      <x:c r="A25" s="3" t="str">
        <x:v>Apple · external TestFlight review</x:v>
      </x:c>
      <x:c r="B25" s="3"/>
      <x:c r="C25" s="3"/>
      <x:c r="D25" s="37" t="str">
        <x:v>https://developer.apple.com/help/app-store-connect/test-a-beta-version/invite-external-testers/</x:v>
      </x:c>
      <x:c r="E25" s="37"/>
      <x:c r="F25" s="37"/>
      <x:c r="G25" s="37"/>
    </x:row>
    <x:row r="26" ht="30" customHeight="1">
      <x:c r="A26" s="3" t="str">
        <x:v>Google Play · review if this route is used</x:v>
      </x:c>
      <x:c r="B26" s="3"/>
      <x:c r="C26" s="3"/>
      <x:c r="D26" s="37" t="str">
        <x:v>https://support.google.com/googleplay/android-developer/answer/9859654?hl=en</x:v>
      </x:c>
      <x:c r="E26" s="37"/>
      <x:c r="F26" s="37"/>
      <x:c r="G26" s="37"/>
    </x:row>
    <x:row r="27" ht="30" customHeight="1">
      <x:c r="A27" s="3" t="str">
        <x:v>Android · direct APK distribution</x:v>
      </x:c>
      <x:c r="B27" s="3"/>
      <x:c r="C27" s="3"/>
      <x:c r="D27" s="37" t="str">
        <x:v>https://developer.android.com/distribute/marketing-tools/alternative-distribution</x:v>
      </x:c>
      <x:c r="E27" s="37"/>
      <x:c r="F27" s="37"/>
      <x:c r="G27" s="37"/>
    </x:row>
  </x:sheetData>
  <x:mergeCells>
    <x:mergeCell ref="A1:G1"/>
    <x:mergeCell ref="A2:G2"/>
    <x:mergeCell ref="A3:G3"/>
    <x:mergeCell ref="A14:C14"/>
    <x:mergeCell ref="A15:C15"/>
    <x:mergeCell ref="A17:G17"/>
    <x:mergeCell ref="A18:G18"/>
    <x:mergeCell ref="A19:G19"/>
    <x:mergeCell ref="A20:G20"/>
    <x:mergeCell ref="A23:G23"/>
    <x:mergeCell ref="A24:C24"/>
    <x:mergeCell ref="D24:G24"/>
    <x:mergeCell ref="A25:C25"/>
    <x:mergeCell ref="D25:G25"/>
    <x:mergeCell ref="A26:C26"/>
    <x:mergeCell ref="D26:G26"/>
    <x:mergeCell ref="A27:C27"/>
    <x:mergeCell ref="D27:G27"/>
  </x:mergeCells>
  <x:conditionalFormatting sqref="F6:F11">
    <x:cfRule type="cellIs" dxfId="5" priority="1" operator="lessThan">
      <x:formula>0</x:formula>
    </x:cfRule>
  </x:conditionalFormatting>
  <x:conditionalFormatting sqref="D15:D15">
    <x:cfRule type="cellIs" dxfId="6" priority="2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38B9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37" hidden="0" customWidth="1"/>
    <x:col min="4" max="4" width="89" hidden="0" customWidth="1"/>
    <x:col min="5" max="5" width="22" hidden="0" customWidth="1"/>
    <x:col min="6" max="6" width="15" hidden="0" customWidth="1"/>
    <x:col min="7" max="7" width="15" hidden="0" customWidth="1"/>
    <x:col min="8" max="8" width="31" hidden="0" customWidth="1"/>
  </x:cols>
  <x:sheetData>
    <x:row r="1" ht="29" customHeight="1">
      <x:c r="A1" s="4" t="str">
        <x:v>Acceptance and recovery checks</x:v>
      </x:c>
      <x:c r="B1" s="4"/>
      <x:c r="C1" s="4"/>
      <x:c r="D1" s="4"/>
      <x:c r="E1" s="4"/>
      <x:c r="F1" s="4"/>
      <x:c r="G1" s="4"/>
      <x:c r="H1" s="4"/>
    </x:row>
    <x:row r="2" ht="26" customHeight="1">
      <x:c r="A2" s="5" t="str">
        <x:v>Run the applicable checks with the linked task. These are planned checks, not results claimed for the current prototypes.</x:v>
      </x:c>
      <x:c r="B2" s="5"/>
      <x:c r="C2" s="5"/>
      <x:c r="D2" s="5"/>
      <x:c r="E2" s="5"/>
      <x:c r="F2" s="5"/>
      <x:c r="G2" s="5"/>
      <x:c r="H2" s="5"/>
    </x:row>
    <x:row r="3" ht="26" customHeight="1">
      <x:c r="A3" s="6" t="str">
        <x:v>Result and Evidence are editable. Release, usability and installation checks must pass before the Focus pilot starts.</x:v>
      </x:c>
      <x:c r="B3" s="6"/>
      <x:c r="C3" s="6"/>
      <x:c r="D3" s="6"/>
      <x:c r="E3" s="6"/>
      <x:c r="F3" s="6"/>
      <x:c r="G3" s="6"/>
      <x:c r="H3" s="6"/>
    </x:row>
    <x:row r="4" ht="9" customHeight="1">
      <x:c r="A4" s="3"/>
      <x:c r="B4" s="3"/>
      <x:c r="C4" s="3"/>
      <x:c r="D4" s="3"/>
      <x:c r="E4" s="3"/>
      <x:c r="F4" s="3"/>
      <x:c r="G4" s="3"/>
      <x:c r="H4" s="3"/>
    </x:row>
    <x:row r="5" ht="31" customHeight="1">
      <x:c r="A5" s="8" t="str">
        <x:v>ID</x:v>
      </x:c>
      <x:c r="B5" s="8" t="str">
        <x:v>Area</x:v>
      </x:c>
      <x:c r="C5" s="8" t="str">
        <x:v>Check / linked task</x:v>
      </x:c>
      <x:c r="D5" s="8" t="str">
        <x:v>Pass condition</x:v>
      </x:c>
      <x:c r="E5" s="8" t="str">
        <x:v>Owner</x:v>
      </x:c>
      <x:c r="F5" s="8" t="str">
        <x:v>Due</x:v>
      </x:c>
      <x:c r="G5" s="8" t="str">
        <x:v>Result</x:v>
      </x:c>
      <x:c r="H5" s="8" t="str">
        <x:v>Evidence / issue link</x:v>
      </x:c>
    </x:row>
    <x:row r="6" ht="66" customHeight="1">
      <x:c r="A6" s="9" t="str">
        <x:v>C01</x:v>
      </x:c>
      <x:c r="B6" s="9" t="str">
        <x:v>All workstreams</x:v>
      </x:c>
      <x:c r="C6" s="9" t="str">
        <x:v>T03 · Definitions and sample reconciliation</x:v>
      </x:c>
      <x:c r="D6" s="3" t="str">
        <x:v>Baselines, windows, identities and denominators are agreed; displayed sample figures reconcile. Streak visits and achieved streaks stay distinct.</x:v>
      </x:c>
      <x:c r="E6" s="13" t="str">
        <x:v>Process designer</x:v>
      </x:c>
      <x:c r="F6" s="14" t="d">
        <x:v>2026-11-03T00:00:00.000Z</x:v>
      </x:c>
      <x:c r="G6" s="13" t="str">
        <x:v>Not run</x:v>
      </x:c>
      <x:c r="H6" s="15"/>
    </x:row>
    <x:row r="7" ht="66" customHeight="1">
      <x:c r="A7" s="9" t="str">
        <x:v>C02</x:v>
      </x:c>
      <x:c r="B7" s="9" t="str">
        <x:v>App adoption</x:v>
      </x:c>
      <x:c r="C7" s="9" t="str">
        <x:v>T06 · Interruption behaviour</x:v>
      </x:c>
      <x:c r="D7" s="3" t="str">
        <x:v>App switching, calls and screen locks are tested separately; pre-start guidance describes verified behaviour.</x:v>
      </x:c>
      <x:c r="E7" s="13" t="str">
        <x:v>Engineer</x:v>
      </x:c>
      <x:c r="F7" s="14" t="d">
        <x:v>2026-11-10T00:00:00.000Z</x:v>
      </x:c>
      <x:c r="G7" s="13" t="str">
        <x:v>Not run</x:v>
      </x:c>
      <x:c r="H7" s="15"/>
    </x:row>
    <x:row r="8" ht="66" customHeight="1">
      <x:c r="A8" s="9" t="str">
        <x:v>C03</x:v>
      </x:c>
      <x:c r="B8" s="9" t="str">
        <x:v>App adoption</x:v>
      </x:c>
      <x:c r="C8" s="9" t="str">
        <x:v>T06/T08 · Unaided first use</x:v>
      </x:c>
      <x:c r="D8" s="3" t="str">
        <x:v>A new student can find Focus, understand the commitment and act without coaching. Finish before the pilot if unavailable during 9–13 Nov.</x:v>
      </x:c>
      <x:c r="E8" s="13" t="str">
        <x:v>Process designer</x:v>
      </x:c>
      <x:c r="F8" s="14" t="d">
        <x:v>2026-11-16T00:00:00.000Z</x:v>
      </x:c>
      <x:c r="G8" s="13" t="str">
        <x:v>Not run</x:v>
      </x:c>
      <x:c r="H8" s="15"/>
    </x:row>
    <x:row r="9" ht="66" customHeight="1">
      <x:c r="A9" s="9" t="str">
        <x:v>C04</x:v>
      </x:c>
      <x:c r="B9" s="9" t="str">
        <x:v>App adoption</x:v>
      </x:c>
      <x:c r="C9" s="9" t="str">
        <x:v>T08 · Release and installation</x:v>
      </x:c>
      <x:c r="D9" s="3" t="str">
        <x:v>Required approval is complete; candidate version and each pilot installation are recorded. One sample session and outcome reach reporting.</x:v>
      </x:c>
      <x:c r="E9" s="13" t="str">
        <x:v>Engineer</x:v>
      </x:c>
      <x:c r="F9" s="14" t="d">
        <x:v>2026-11-16T00:00:00.000Z</x:v>
      </x:c>
      <x:c r="G9" s="13" t="str">
        <x:v>Not run</x:v>
      </x:c>
      <x:c r="H9" s="15"/>
    </x:row>
    <x:row r="10" ht="66" customHeight="1">
      <x:c r="A10" s="9" t="str">
        <x:v>C05</x:v>
      </x:c>
      <x:c r="B10" s="9" t="str">
        <x:v>GTM tracker</x:v>
      </x:c>
      <x:c r="C10" s="9" t="str">
        <x:v>T07 · Journey, totals and action</x:v>
      </x:c>
      <x:c r="D10" s="3" t="str">
        <x:v>Meta campaign spend, CTR and frequency reconcile for the selected period. Programme/workshop lead → invoice → payment → onboarding reconciles; unpaid invoices, trial renewals and campaign rules work. Staff can explain the action unaided.</x:v>
      </x:c>
      <x:c r="E10" s="13" t="str">
        <x:v>Process designer</x:v>
      </x:c>
      <x:c r="F10" s="14" t="d">
        <x:v>2026-11-17T00:00:00.000Z</x:v>
      </x:c>
      <x:c r="G10" s="13" t="str">
        <x:v>Not run</x:v>
      </x:c>
      <x:c r="H10" s="15"/>
    </x:row>
    <x:row r="11" ht="66" customHeight="1">
      <x:c r="A11" s="9" t="str">
        <x:v>C06</x:v>
      </x:c>
      <x:c r="B11" s="9" t="str">
        <x:v>Student dashboard</x:v>
      </x:c>
      <x:c r="C11" s="9" t="str">
        <x:v>T10 · Weekly-review journey</x:v>
      </x:c>
      <x:c r="D11" s="3" t="str">
        <x:v>One captured record reaches individual/cohort views for the correct week. Quantity, feedback and performance show coverage and denominators. Advisor preparation and help required are recorded.</x:v>
      </x:c>
      <x:c r="E11" s="13" t="str">
        <x:v>Process designer</x:v>
      </x:c>
      <x:c r="F11" s="14" t="d">
        <x:v>2026-11-23T00:00:00.000Z</x:v>
      </x:c>
      <x:c r="G11" s="13" t="str">
        <x:v>Not run</x:v>
      </x:c>
      <x:c r="H11" s="15"/>
    </x:row>
    <x:row r="12" ht="66" customHeight="1">
      <x:c r="A12" s="9" t="str">
        <x:v>F01</x:v>
      </x:c>
      <x:c r="B12" s="9" t="str">
        <x:v>GTM tracker</x:v>
      </x:c>
      <x:c r="C12" s="9" t="str">
        <x:v>Duplicate payment</x:v>
      </x:c>
      <x:c r="D12" s="3" t="str">
        <x:v>Receive the same ₹3,999 workshop payment twice; the collection remains ₹3,999 and the payment identity is preserved.</x:v>
      </x:c>
      <x:c r="E12" s="13" t="str">
        <x:v>Engineer</x:v>
      </x:c>
      <x:c r="F12" s="14" t="d">
        <x:v>2026-11-17T00:00:00.000Z</x:v>
      </x:c>
      <x:c r="G12" s="13" t="str">
        <x:v>Not run</x:v>
      </x:c>
      <x:c r="H12" s="15"/>
    </x:row>
    <x:row r="13" ht="66" customHeight="1">
      <x:c r="A13" s="9" t="str">
        <x:v>F02</x:v>
      </x:c>
      <x:c r="B13" s="9" t="str">
        <x:v>App adoption</x:v>
      </x:c>
      <x:c r="C13" s="9" t="str">
        <x:v>Duplicate session outcome</x:v>
      </x:c>
      <x:c r="D13" s="3" t="str">
        <x:v>Repeat one focus-completion event; reporting still contains one completed session.</x:v>
      </x:c>
      <x:c r="E13" s="13" t="str">
        <x:v>Engineer</x:v>
      </x:c>
      <x:c r="F13" s="14" t="d">
        <x:v>2026-11-16T00:00:00.000Z</x:v>
      </x:c>
      <x:c r="G13" s="13" t="str">
        <x:v>Not run</x:v>
      </x:c>
      <x:c r="H13" s="15"/>
    </x:row>
    <x:row r="14" ht="66" customHeight="1">
      <x:c r="A14" s="9" t="str">
        <x:v>F03</x:v>
      </x:c>
      <x:c r="B14" s="9" t="str">
        <x:v>All workstreams</x:v>
      </x:c>
      <x:c r="C14" s="9" t="str">
        <x:v>Late or unavailable source</x:v>
      </x:c>
      <x:c r="D14" s="3" t="str">
        <x:v>Show the last successful update and mark stale data. An unavailable feed does not become zero revenue or zero activity.</x:v>
      </x:c>
      <x:c r="E14" s="13" t="str">
        <x:v>Engineer</x:v>
      </x:c>
      <x:c r="F14" s="14" t="d">
        <x:v>2026-11-24T00:00:00.000Z</x:v>
      </x:c>
      <x:c r="G14" s="13" t="str">
        <x:v>Not run</x:v>
      </x:c>
      <x:c r="H14" s="15"/>
    </x:row>
    <x:row r="15" ht="66" customHeight="1">
      <x:c r="A15" s="9" t="str">
        <x:v>F04</x:v>
      </x:c>
      <x:c r="B15" s="9" t="str">
        <x:v>Student dashboard</x:v>
      </x:c>
      <x:c r="C15" s="9" t="str">
        <x:v>Missing feedback or wearable reading</x:v>
      </x:c>
      <x:c r="D15" s="3" t="str">
        <x:v>Show the gap and available coverage. No feedback is not a negative rating; no device reading is not zero performance.</x:v>
      </x:c>
      <x:c r="E15" s="13" t="str">
        <x:v>Process designer</x:v>
      </x:c>
      <x:c r="F15" s="14" t="d">
        <x:v>2026-11-23T00:00:00.000Z</x:v>
      </x:c>
      <x:c r="G15" s="13" t="str">
        <x:v>Not run</x:v>
      </x:c>
      <x:c r="H15" s="15"/>
    </x:row>
    <x:row r="16" ht="66" customHeight="1">
      <x:c r="A16" s="9" t="str">
        <x:v>F05</x:v>
      </x:c>
      <x:c r="B16" s="9" t="str">
        <x:v>All workstreams</x:v>
      </x:c>
      <x:c r="C16" s="9" t="str">
        <x:v>Invalid or corrected record</x:v>
      </x:c>
      <x:c r="D16" s="3" t="str">
        <x:v>Expose the rejected record and responsible owner. Correct and replay into the intended period without duplicating the original.</x:v>
      </x:c>
      <x:c r="E16" s="13" t="str">
        <x:v>Engineer</x:v>
      </x:c>
      <x:c r="F16" s="14" t="d">
        <x:v>2026-11-24T00:00:00.000Z</x:v>
      </x:c>
      <x:c r="G16" s="13" t="str">
        <x:v>Not run</x:v>
      </x:c>
      <x:c r="H16" s="15"/>
    </x:row>
    <x:row r="17" ht="66" customHeight="1">
      <x:c r="A17" s="9" t="str">
        <x:v>F06</x:v>
      </x:c>
      <x:c r="B17" s="9" t="str">
        <x:v>Operations</x:v>
      </x:c>
      <x:c r="C17" s="9" t="str">
        <x:v>Partial processing or replay</x:v>
      </x:c>
      <x:c r="D17" s="3" t="str">
        <x:v>Stop a batch partway through, retry and reconcile before/after results. Completed work is not repeated.</x:v>
      </x:c>
      <x:c r="E17" s="13" t="str">
        <x:v>Engineer</x:v>
      </x:c>
      <x:c r="F17" s="14" t="d">
        <x:v>2026-11-24T00:00:00.000Z</x:v>
      </x:c>
      <x:c r="G17" s="13" t="str">
        <x:v>Not run</x:v>
      </x:c>
      <x:c r="H17" s="15"/>
    </x:row>
    <x:row r="18" ht="66" customHeight="1">
      <x:c r="A18" s="9" t="str">
        <x:v>F07</x:v>
      </x:c>
      <x:c r="B18" s="9" t="str">
        <x:v>Operations</x:v>
      </x:c>
      <x:c r="C18" s="9" t="str">
        <x:v>Repeated reminder</x:v>
      </x:c>
      <x:c r="D18" s="3" t="str">
        <x:v>Replay an input that previously sent a renewal/task reminder. A delivery record prevents the same reminder being sent again automatically.</x:v>
      </x:c>
      <x:c r="E18" s="13" t="str">
        <x:v>Process designer</x:v>
      </x:c>
      <x:c r="F18" s="14" t="d">
        <x:v>2026-11-24T00:00:00.000Z</x:v>
      </x:c>
      <x:c r="G18" s="13" t="str">
        <x:v>Not run</x:v>
      </x:c>
      <x:c r="H18" s="15"/>
    </x:row>
    <x:row r="19" ht="66" customHeight="1">
      <x:c r="A19" s="9" t="str">
        <x:v>F08</x:v>
      </x:c>
      <x:c r="B19" s="9" t="str">
        <x:v>App adoption</x:v>
      </x:c>
      <x:c r="C19" s="9" t="str">
        <x:v>Faulty app release</x:v>
      </x:c>
      <x:c r="D19" s="3" t="str">
        <x:v>Document how to stop further rollout and identify affected versions. Disable only if supported; otherwise prepare a corrected build and verify installation.</x:v>
      </x:c>
      <x:c r="E19" s="13" t="str">
        <x:v>Engineer</x:v>
      </x:c>
      <x:c r="F19" s="14" t="d">
        <x:v>2026-11-13T00:00:00.000Z</x:v>
      </x:c>
      <x:c r="G19" s="13" t="str">
        <x:v>Not run</x:v>
      </x:c>
      <x:c r="H19" s="15"/>
    </x:row>
    <x:row r="20" ht="66" customHeight="1">
      <x:c r="A20" s="9" t="str">
        <x:v>F09</x:v>
      </x:c>
      <x:c r="B20" s="9" t="str">
        <x:v>All workstreams</x:v>
      </x:c>
      <x:c r="C20" s="9" t="str">
        <x:v>Confusing flow</x:v>
      </x:c>
      <x:c r="D20" s="3" t="str">
        <x:v>The relevant teen, parent or staff user can find the flow, understand it and act unaided. Fix confusing steps before expanding use.</x:v>
      </x:c>
      <x:c r="E20" s="13" t="str">
        <x:v>Process designer</x:v>
      </x:c>
      <x:c r="F20" s="14" t="d">
        <x:v>2026-11-23T00:00:00.000Z</x:v>
      </x:c>
      <x:c r="G20" s="13" t="str">
        <x:v>Not run</x:v>
      </x:c>
      <x:c r="H20" s="15"/>
    </x:row>
    <x:row r="21" ht="66" customHeight="1">
      <x:c r="A21" s="9" t="str">
        <x:v>C07</x:v>
      </x:c>
      <x:c r="B21" s="9" t="str">
        <x:v>Operations</x:v>
      </x:c>
      <x:c r="C21" s="9" t="str">
        <x:v>T13 · Operator handover</x:v>
      </x:c>
      <x:c r="D21" s="3" t="str">
        <x:v>A colleague can use the flow and handle a routine exception without editing code. Owner, fallback, escalation and working document links are recorded.</x:v>
      </x:c>
      <x:c r="E21" s="13" t="str">
        <x:v>Process designer</x:v>
      </x:c>
      <x:c r="F21" s="14" t="d">
        <x:v>2026-11-27T00:00:00.000Z</x:v>
      </x:c>
      <x:c r="G21" s="13" t="str">
        <x:v>Not run</x:v>
      </x:c>
      <x:c r="H21" s="15"/>
    </x:row>
    <x:row r="22" ht="66" customHeight="1">
      <x:c r="A22" s="9" t="str">
        <x:v>C08</x:v>
      </x:c>
      <x:c r="B22" s="9" t="str">
        <x:v>All workstreams</x:v>
      </x:c>
      <x:c r="C22" s="9" t="str">
        <x:v>T14 · Outcome window and decision</x:v>
      </x:c>
      <x:c r="D22" s="3" t="str">
        <x:v>Use actual pilot starts and complete follow-up windows. Report denominators and missing data; record Keep, Improve or Stop and the next review date.</x:v>
      </x:c>
      <x:c r="E22" s="13" t="str">
        <x:v>Pranav</x:v>
      </x:c>
      <x:c r="F22" s="14" t="d">
        <x:v>2026-11-30T00:00:00.000Z</x:v>
      </x:c>
      <x:c r="G22" s="13" t="str">
        <x:v>Not run</x:v>
      </x:c>
      <x:c r="H22" s="15"/>
    </x:row>
  </x:sheetData>
  <x:mergeCells>
    <x:mergeCell ref="A1:H1"/>
    <x:mergeCell ref="A2:H2"/>
    <x:mergeCell ref="A3:H3"/>
  </x:mergeCells>
  <x:conditionalFormatting sqref="G6:G205">
    <x:cfRule type="cellIs" dxfId="7" priority="1" operator="equal">
      <x:formula>"Not run"</x:formula>
    </x:cfRule>
    <x:cfRule type="cellIs" dxfId="8" priority="2" operator="equal">
      <x:formula>"Passed"</x:formula>
    </x:cfRule>
    <x:cfRule type="cellIs" dxfId="9" priority="3" operator="equal">
      <x:formula>"Failed"</x:formula>
    </x:cfRule>
    <x:cfRule type="cellIs" dxfId="10" priority="4" operator="equal">
      <x:formula>"Blocked"</x:formula>
    </x:cfRule>
  </x:conditionalFormatting>
  <x:dataValidations count="2">
    <x:dataValidation type="list" sqref="G6:G205">
      <x:formula1>"Not run,Passed,Failed,Blocked"</x:formula1>
    </x:dataValidation>
    <x:dataValidation type="list" sqref="E6:E205">
      <x:formula1>"Pranav,Process designer,Engineer"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ec0276187345f8"/>
  </x:tableParts>
</x:worksheet>
</file>